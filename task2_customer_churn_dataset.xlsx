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DITYA\"/>
    </mc:Choice>
  </mc:AlternateContent>
  <xr:revisionPtr revIDLastSave="0" documentId="13_ncr:1_{DD2BDF8E-D0A1-4DEA-BDC7-61183273F3B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3" sheetId="6" r:id="rId1"/>
    <sheet name="Customer_Data" sheetId="1" r:id="rId2"/>
  </sheets>
  <definedNames>
    <definedName name="_xlnm._FilterDatabase" localSheetId="1" hidden="1">Customer_Data!$A$1:$F$21</definedName>
  </definedNames>
  <calcPr calcId="191029"/>
  <pivotCaches>
    <pivotCache cacheId="1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7" i="1"/>
  <c r="K2" i="1"/>
  <c r="K3" i="1"/>
  <c r="K4" i="1" s="1"/>
  <c r="K5" i="1" s="1"/>
  <c r="K6" i="1"/>
  <c r="K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</calcChain>
</file>

<file path=xl/sharedStrings.xml><?xml version="1.0" encoding="utf-8"?>
<sst xmlns="http://schemas.openxmlformats.org/spreadsheetml/2006/main" count="119" uniqueCount="76">
  <si>
    <t>Customer_ID</t>
  </si>
  <si>
    <t>Join_Date</t>
  </si>
  <si>
    <t>Last_Active</t>
  </si>
  <si>
    <t>Subscription_Type</t>
  </si>
  <si>
    <t>Monthly_Charges</t>
  </si>
  <si>
    <t>Churn</t>
  </si>
  <si>
    <t>2023-01-05</t>
  </si>
  <si>
    <t>2023-06-10</t>
  </si>
  <si>
    <t>Basic</t>
  </si>
  <si>
    <t>Yes</t>
  </si>
  <si>
    <t>2023-01-15</t>
  </si>
  <si>
    <t>2023-08-20</t>
  </si>
  <si>
    <t>Premium</t>
  </si>
  <si>
    <t>No</t>
  </si>
  <si>
    <t>2023-02-01</t>
  </si>
  <si>
    <t>2023-04-15</t>
  </si>
  <si>
    <t>2023-02-10</t>
  </si>
  <si>
    <t>2023-09-01</t>
  </si>
  <si>
    <t>Standard</t>
  </si>
  <si>
    <t>2023-03-12</t>
  </si>
  <si>
    <t>2023-05-25</t>
  </si>
  <si>
    <t>2023-03-20</t>
  </si>
  <si>
    <t>2023-10-10</t>
  </si>
  <si>
    <t>2023-04-05</t>
  </si>
  <si>
    <t>2023-06-30</t>
  </si>
  <si>
    <t>2023-04-18</t>
  </si>
  <si>
    <t>2023-11-01</t>
  </si>
  <si>
    <t>2023-05-10</t>
  </si>
  <si>
    <t>2023-07-15</t>
  </si>
  <si>
    <t>2023-05-22</t>
  </si>
  <si>
    <t>2023-12-01</t>
  </si>
  <si>
    <t>2023-06-01</t>
  </si>
  <si>
    <t>2023-08-05</t>
  </si>
  <si>
    <t>2023-06-15</t>
  </si>
  <si>
    <t>2023-12-20</t>
  </si>
  <si>
    <t>2023-07-01</t>
  </si>
  <si>
    <t>2023-09-10</t>
  </si>
  <si>
    <t>2023-07-12</t>
  </si>
  <si>
    <t>2023-12-25</t>
  </si>
  <si>
    <t>2023-10-01</t>
  </si>
  <si>
    <t>2023-08-18</t>
  </si>
  <si>
    <t>2023-12-30</t>
  </si>
  <si>
    <t>2023-09-02</t>
  </si>
  <si>
    <t>2023-11-10</t>
  </si>
  <si>
    <t>2023-09-15</t>
  </si>
  <si>
    <t>2023-12-31</t>
  </si>
  <si>
    <t>2023-11-25</t>
  </si>
  <si>
    <t>Total Customers</t>
  </si>
  <si>
    <t>Churned Customers</t>
  </si>
  <si>
    <t>Avg Lifetime (Months)</t>
  </si>
  <si>
    <t>Total Revenue</t>
  </si>
  <si>
    <t>Revenue Lost (Churn)</t>
  </si>
  <si>
    <t>KPI</t>
  </si>
  <si>
    <t>Values</t>
  </si>
  <si>
    <t>Churn Rate(%)</t>
  </si>
  <si>
    <t>Retention Rate(%)</t>
  </si>
  <si>
    <t xml:space="preserve"> Lifetime_Months</t>
  </si>
  <si>
    <t xml:space="preserve"> Churn_Flag</t>
  </si>
  <si>
    <t>Total_Revenue</t>
  </si>
  <si>
    <t>Grand Total</t>
  </si>
  <si>
    <t>Subscription Type</t>
  </si>
  <si>
    <t xml:space="preserve"> Total_Revenue</t>
  </si>
  <si>
    <t>Month</t>
  </si>
  <si>
    <t>Jan</t>
  </si>
  <si>
    <t>Feb</t>
  </si>
  <si>
    <t>Mar</t>
  </si>
  <si>
    <t>May</t>
  </si>
  <si>
    <t>Jun</t>
  </si>
  <si>
    <t>Aug</t>
  </si>
  <si>
    <t>Sep</t>
  </si>
  <si>
    <t>Apr</t>
  </si>
  <si>
    <t>Jul</t>
  </si>
  <si>
    <t>Oct</t>
  </si>
  <si>
    <t xml:space="preserve">  Churn_Flag</t>
  </si>
  <si>
    <t>Months</t>
  </si>
  <si>
    <t xml:space="preserve">  Churned_Customers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</si>
</sst>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3" fontId="0" fillId="0" borderId="0" xfId="1" applyFont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2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[task2_customer_churn_dataset.xlsx]Sheet3!PivotTable4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  Churned_Customers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</c:v>
                </c:pt>
                <c:pt idx="1">
                  <c:v>0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3-48AE-9E9A-46001712BCCF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 Total_Revenue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Sheet3!$C$4:$C$7</c:f>
              <c:numCache>
                <c:formatCode>General</c:formatCode>
                <c:ptCount val="3"/>
                <c:pt idx="0">
                  <c:v>8000</c:v>
                </c:pt>
                <c:pt idx="1">
                  <c:v>42000</c:v>
                </c:pt>
                <c:pt idx="2">
                  <c:v>16800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13-48AE-9E9A-46001712B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00187936"/>
        <c:axId val="1500188416"/>
        <c:axId val="0"/>
      </c:bar3DChart>
      <c:catAx>
        <c:axId val="150018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188416"/>
        <c:crosses val="autoZero"/>
        <c:auto val="1"/>
        <c:lblAlgn val="ctr"/>
        <c:lblOffset val="100"/>
        <c:noMultiLvlLbl val="0"/>
      </c:catAx>
      <c:valAx>
        <c:axId val="150018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18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[task2_customer_churn_dataset.xlsx]Sheet3!PivotTable5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Sheet3!$I$2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Sheet3!$H$3:$H$13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Sheet3!$I$3:$I$13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8B-42CB-A17E-DB90BCF94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5540880"/>
        <c:axId val="1575539440"/>
      </c:lineChart>
      <c:catAx>
        <c:axId val="157554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539440"/>
        <c:crosses val="autoZero"/>
        <c:auto val="1"/>
        <c:lblAlgn val="ctr"/>
        <c:lblOffset val="100"/>
        <c:noMultiLvlLbl val="0"/>
      </c:catAx>
      <c:valAx>
        <c:axId val="157553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54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8</xdr:row>
      <xdr:rowOff>68580</xdr:rowOff>
    </xdr:from>
    <xdr:to>
      <xdr:col>3</xdr:col>
      <xdr:colOff>22860</xdr:colOff>
      <xdr:row>23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2088B5-A686-B37A-E15C-D2CBBF6A1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487680</xdr:colOff>
      <xdr:row>13</xdr:row>
      <xdr:rowOff>171450</xdr:rowOff>
    </xdr:from>
    <xdr:to>
      <xdr:col>12</xdr:col>
      <xdr:colOff>99060</xdr:colOff>
      <xdr:row>28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758D87-546E-5F4A-B989-2C8AC5284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 Ram" refreshedDate="46103.531718518519" createdVersion="8" refreshedVersion="8" minRefreshableVersion="3" recordCount="20" xr:uid="{ACD94685-B499-4B91-8EF5-6E1A59D4D4E7}">
  <cacheSource type="worksheet">
    <worksheetSource ref="A1:L21" sheet="Customer_Data"/>
  </cacheSource>
  <cacheFields count="12">
    <cacheField name="Customer_ID" numFmtId="0">
      <sharedItems containsSemiMixedTypes="0" containsString="0" containsNumber="1" containsInteger="1" minValue="101" maxValue="120"/>
    </cacheField>
    <cacheField name="Join_Date" numFmtId="0">
      <sharedItems/>
    </cacheField>
    <cacheField name="Last_Active" numFmtId="0">
      <sharedItems/>
    </cacheField>
    <cacheField name="Subscription_Type" numFmtId="0">
      <sharedItems count="3">
        <s v="Basic"/>
        <s v="Premium"/>
        <s v="Standard"/>
      </sharedItems>
    </cacheField>
    <cacheField name="Monthly_Charges" numFmtId="0">
      <sharedItems containsSemiMixedTypes="0" containsString="0" containsNumber="1" containsInteger="1" minValue="500" maxValue="1200"/>
    </cacheField>
    <cacheField name="Churn" numFmtId="0">
      <sharedItems/>
    </cacheField>
    <cacheField name=" Lifetime_Months" numFmtId="0">
      <sharedItems containsSemiMixedTypes="0" containsString="0" containsNumber="1" containsInteger="1" minValue="1" maxValue="7"/>
    </cacheField>
    <cacheField name=" Churn_Flag" numFmtId="0">
      <sharedItems containsSemiMixedTypes="0" containsString="0" containsNumber="1" containsInteger="1" minValue="0" maxValue="1"/>
    </cacheField>
    <cacheField name="Total_Revenue" numFmtId="0">
      <sharedItems containsSemiMixedTypes="0" containsString="0" containsNumber="1" containsInteger="1" minValue="500" maxValue="8400"/>
    </cacheField>
    <cacheField name="KPI" numFmtId="0">
      <sharedItems containsBlank="1"/>
    </cacheField>
    <cacheField name="Values2" numFmtId="0">
      <sharedItems containsString="0" containsBlank="1" containsNumber="1" minValue="3.6" maxValue="66800"/>
    </cacheField>
    <cacheField name="Month" numFmtId="0">
      <sharedItems count="10">
        <s v="Jan"/>
        <s v="Feb"/>
        <s v="Mar"/>
        <s v="Apr"/>
        <s v="May"/>
        <s v="Jun"/>
        <s v="Jul"/>
        <s v="Aug"/>
        <s v="Sep"/>
        <s v="Oc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1"/>
    <s v="2023-01-05"/>
    <s v="2023-06-10"/>
    <x v="0"/>
    <n v="500"/>
    <s v="Yes"/>
    <n v="5"/>
    <n v="1"/>
    <n v="2500"/>
    <s v="Total Customers"/>
    <n v="20"/>
    <x v="0"/>
  </r>
  <r>
    <n v="102"/>
    <s v="2023-01-15"/>
    <s v="2023-08-20"/>
    <x v="1"/>
    <n v="1200"/>
    <s v="No"/>
    <n v="7"/>
    <n v="0"/>
    <n v="8400"/>
    <s v="Churned Customers"/>
    <n v="10"/>
    <x v="0"/>
  </r>
  <r>
    <n v="103"/>
    <s v="2023-02-01"/>
    <s v="2023-04-15"/>
    <x v="0"/>
    <n v="500"/>
    <s v="Yes"/>
    <n v="2"/>
    <n v="1"/>
    <n v="1000"/>
    <s v="Churn Rate(%)"/>
    <n v="50"/>
    <x v="1"/>
  </r>
  <r>
    <n v="104"/>
    <s v="2023-02-10"/>
    <s v="2023-09-01"/>
    <x v="2"/>
    <n v="800"/>
    <s v="No"/>
    <n v="6"/>
    <n v="0"/>
    <n v="4800"/>
    <s v="Retention Rate(%)"/>
    <n v="50"/>
    <x v="1"/>
  </r>
  <r>
    <n v="105"/>
    <s v="2023-03-12"/>
    <s v="2023-05-25"/>
    <x v="0"/>
    <n v="500"/>
    <s v="Yes"/>
    <n v="2"/>
    <n v="1"/>
    <n v="1000"/>
    <s v="Avg Lifetime (Months)"/>
    <n v="3.6"/>
    <x v="2"/>
  </r>
  <r>
    <n v="106"/>
    <s v="2023-03-20"/>
    <s v="2023-10-10"/>
    <x v="1"/>
    <n v="1200"/>
    <s v="No"/>
    <n v="6"/>
    <n v="0"/>
    <n v="7200"/>
    <s v="Total Revenue"/>
    <n v="66800"/>
    <x v="2"/>
  </r>
  <r>
    <n v="107"/>
    <s v="2023-04-05"/>
    <s v="2023-06-30"/>
    <x v="2"/>
    <n v="800"/>
    <s v="Yes"/>
    <n v="2"/>
    <n v="1"/>
    <n v="1600"/>
    <s v="Revenue Lost (Churn)"/>
    <n v="12000"/>
    <x v="3"/>
  </r>
  <r>
    <n v="108"/>
    <s v="2023-04-18"/>
    <s v="2023-11-01"/>
    <x v="1"/>
    <n v="1200"/>
    <s v="No"/>
    <n v="6"/>
    <n v="0"/>
    <n v="7200"/>
    <m/>
    <m/>
    <x v="3"/>
  </r>
  <r>
    <n v="109"/>
    <s v="2023-05-10"/>
    <s v="2023-07-15"/>
    <x v="0"/>
    <n v="500"/>
    <s v="Yes"/>
    <n v="2"/>
    <n v="1"/>
    <n v="1000"/>
    <m/>
    <m/>
    <x v="4"/>
  </r>
  <r>
    <n v="110"/>
    <s v="2023-05-22"/>
    <s v="2023-12-01"/>
    <x v="2"/>
    <n v="800"/>
    <s v="No"/>
    <n v="6"/>
    <n v="0"/>
    <n v="4800"/>
    <m/>
    <m/>
    <x v="4"/>
  </r>
  <r>
    <n v="111"/>
    <s v="2023-06-01"/>
    <s v="2023-08-05"/>
    <x v="0"/>
    <n v="500"/>
    <s v="Yes"/>
    <n v="2"/>
    <n v="1"/>
    <n v="1000"/>
    <m/>
    <m/>
    <x v="5"/>
  </r>
  <r>
    <n v="112"/>
    <s v="2023-06-15"/>
    <s v="2023-12-20"/>
    <x v="1"/>
    <n v="1200"/>
    <s v="No"/>
    <n v="6"/>
    <n v="0"/>
    <n v="7200"/>
    <m/>
    <m/>
    <x v="5"/>
  </r>
  <r>
    <n v="113"/>
    <s v="2023-07-01"/>
    <s v="2023-09-10"/>
    <x v="2"/>
    <n v="800"/>
    <s v="Yes"/>
    <n v="2"/>
    <n v="1"/>
    <n v="1600"/>
    <m/>
    <m/>
    <x v="6"/>
  </r>
  <r>
    <n v="114"/>
    <s v="2023-07-12"/>
    <s v="2023-12-25"/>
    <x v="1"/>
    <n v="1200"/>
    <s v="No"/>
    <n v="5"/>
    <n v="0"/>
    <n v="6000"/>
    <m/>
    <m/>
    <x v="6"/>
  </r>
  <r>
    <n v="115"/>
    <s v="2023-08-05"/>
    <s v="2023-10-01"/>
    <x v="0"/>
    <n v="500"/>
    <s v="Yes"/>
    <n v="1"/>
    <n v="1"/>
    <n v="500"/>
    <m/>
    <m/>
    <x v="7"/>
  </r>
  <r>
    <n v="116"/>
    <s v="2023-08-18"/>
    <s v="2023-12-30"/>
    <x v="2"/>
    <n v="800"/>
    <s v="No"/>
    <n v="4"/>
    <n v="0"/>
    <n v="3200"/>
    <m/>
    <m/>
    <x v="7"/>
  </r>
  <r>
    <n v="117"/>
    <s v="2023-09-02"/>
    <s v="2023-11-10"/>
    <x v="0"/>
    <n v="500"/>
    <s v="Yes"/>
    <n v="2"/>
    <n v="1"/>
    <n v="1000"/>
    <m/>
    <m/>
    <x v="8"/>
  </r>
  <r>
    <n v="118"/>
    <s v="2023-09-15"/>
    <s v="2023-12-31"/>
    <x v="1"/>
    <n v="1200"/>
    <s v="No"/>
    <n v="3"/>
    <n v="0"/>
    <n v="3600"/>
    <m/>
    <m/>
    <x v="8"/>
  </r>
  <r>
    <n v="119"/>
    <s v="2023-10-01"/>
    <s v="2023-11-25"/>
    <x v="2"/>
    <n v="800"/>
    <s v="Yes"/>
    <n v="1"/>
    <n v="1"/>
    <n v="800"/>
    <m/>
    <m/>
    <x v="9"/>
  </r>
  <r>
    <n v="120"/>
    <s v="2023-10-10"/>
    <s v="2023-12-31"/>
    <x v="1"/>
    <n v="1200"/>
    <s v="No"/>
    <n v="2"/>
    <n v="0"/>
    <n v="2400"/>
    <m/>
    <m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2019B-539A-47F5-9495-AF2DDBA82809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s">
  <location ref="H2:I13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  Churn_Flag" fld="7" baseField="11" baseItem="0"/>
  </dataFields>
  <formats count="6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11" type="button" dataOnly="0" labelOnly="1" outline="0" axis="axisRow" fieldPosition="0"/>
    </format>
    <format dxfId="15">
      <pivotArea dataOnly="0" labelOnly="1" fieldPosition="0">
        <references count="1">
          <reference field="11" count="0"/>
        </references>
      </pivotArea>
    </format>
    <format dxfId="16">
      <pivotArea dataOnly="0" labelOnly="1" grandRow="1" outline="0" fieldPosition="0"/>
    </format>
    <format dxfId="1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D2BCF-00A7-4F04-81AE-4723ACC17A6C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Subscription Type">
  <location ref="A3:C7" firstHeaderRow="0" firstDataRow="1" firstDataCol="1"/>
  <pivotFields count="12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  Churned_Customers" fld="7" baseField="3" baseItem="0"/>
    <dataField name=" Total_Revenue" fld="8" baseField="3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3" type="button" dataOnly="0" labelOnly="1" outline="0" axis="axisRow" fieldPosition="0"/>
    </format>
    <format dxfId="20">
      <pivotArea dataOnly="0" labelOnly="1" fieldPosition="0">
        <references count="1">
          <reference field="3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EEB3-490D-4AB5-87E5-4DA6FB27970B}">
  <dimension ref="A2:I13"/>
  <sheetViews>
    <sheetView workbookViewId="0">
      <selection activeCell="N4" sqref="N4"/>
    </sheetView>
  </sheetViews>
  <sheetFormatPr defaultRowHeight="14.4" x14ac:dyDescent="0.3"/>
  <cols>
    <col min="1" max="1" width="20.5546875" bestFit="1" customWidth="1"/>
    <col min="2" max="2" width="19.21875" bestFit="1" customWidth="1"/>
    <col min="3" max="3" width="14.109375" bestFit="1" customWidth="1"/>
    <col min="7" max="7" width="7" customWidth="1"/>
    <col min="8" max="8" width="12" bestFit="1" customWidth="1"/>
    <col min="9" max="9" width="11.33203125" bestFit="1" customWidth="1"/>
  </cols>
  <sheetData>
    <row r="2" spans="1:9" x14ac:dyDescent="0.3">
      <c r="H2" s="4" t="s">
        <v>74</v>
      </c>
      <c r="I2" s="1" t="s">
        <v>73</v>
      </c>
    </row>
    <row r="3" spans="1:9" x14ac:dyDescent="0.3">
      <c r="A3" s="4" t="s">
        <v>60</v>
      </c>
      <c r="B3" s="1" t="s">
        <v>75</v>
      </c>
      <c r="C3" s="1" t="s">
        <v>61</v>
      </c>
      <c r="H3" s="1" t="s">
        <v>63</v>
      </c>
      <c r="I3" s="5">
        <v>1</v>
      </c>
    </row>
    <row r="4" spans="1:9" x14ac:dyDescent="0.3">
      <c r="A4" s="1" t="s">
        <v>8</v>
      </c>
      <c r="B4" s="5">
        <v>7</v>
      </c>
      <c r="C4" s="5">
        <v>8000</v>
      </c>
      <c r="H4" s="1" t="s">
        <v>64</v>
      </c>
      <c r="I4" s="5">
        <v>1</v>
      </c>
    </row>
    <row r="5" spans="1:9" x14ac:dyDescent="0.3">
      <c r="A5" s="1" t="s">
        <v>12</v>
      </c>
      <c r="B5" s="5">
        <v>0</v>
      </c>
      <c r="C5" s="5">
        <v>42000</v>
      </c>
      <c r="H5" s="1" t="s">
        <v>65</v>
      </c>
      <c r="I5" s="5">
        <v>1</v>
      </c>
    </row>
    <row r="6" spans="1:9" x14ac:dyDescent="0.3">
      <c r="A6" s="1" t="s">
        <v>18</v>
      </c>
      <c r="B6" s="5">
        <v>3</v>
      </c>
      <c r="C6" s="5">
        <v>16800</v>
      </c>
      <c r="H6" s="1" t="s">
        <v>70</v>
      </c>
      <c r="I6" s="5">
        <v>1</v>
      </c>
    </row>
    <row r="7" spans="1:9" x14ac:dyDescent="0.3">
      <c r="A7" s="1" t="s">
        <v>59</v>
      </c>
      <c r="B7" s="5">
        <v>10</v>
      </c>
      <c r="C7" s="5">
        <v>66800</v>
      </c>
      <c r="H7" s="1" t="s">
        <v>66</v>
      </c>
      <c r="I7" s="5">
        <v>1</v>
      </c>
    </row>
    <row r="8" spans="1:9" x14ac:dyDescent="0.3">
      <c r="H8" s="1" t="s">
        <v>67</v>
      </c>
      <c r="I8" s="5">
        <v>1</v>
      </c>
    </row>
    <row r="9" spans="1:9" x14ac:dyDescent="0.3">
      <c r="H9" s="1" t="s">
        <v>71</v>
      </c>
      <c r="I9" s="5">
        <v>1</v>
      </c>
    </row>
    <row r="10" spans="1:9" x14ac:dyDescent="0.3">
      <c r="H10" s="1" t="s">
        <v>68</v>
      </c>
      <c r="I10" s="5">
        <v>1</v>
      </c>
    </row>
    <row r="11" spans="1:9" x14ac:dyDescent="0.3">
      <c r="H11" s="1" t="s">
        <v>69</v>
      </c>
      <c r="I11" s="5">
        <v>1</v>
      </c>
    </row>
    <row r="12" spans="1:9" x14ac:dyDescent="0.3">
      <c r="H12" s="1" t="s">
        <v>72</v>
      </c>
      <c r="I12" s="5">
        <v>1</v>
      </c>
    </row>
    <row r="13" spans="1:9" x14ac:dyDescent="0.3">
      <c r="H13" s="1" t="s">
        <v>59</v>
      </c>
      <c r="I13" s="5">
        <v>10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sqref="A1:L21"/>
    </sheetView>
  </sheetViews>
  <sheetFormatPr defaultRowHeight="14.4" x14ac:dyDescent="0.3"/>
  <cols>
    <col min="1" max="1" width="17" customWidth="1"/>
    <col min="2" max="2" width="18.33203125" customWidth="1"/>
    <col min="3" max="3" width="16" customWidth="1"/>
    <col min="4" max="4" width="21" customWidth="1"/>
    <col min="5" max="5" width="20.88671875" customWidth="1"/>
    <col min="6" max="6" width="12.5546875" customWidth="1"/>
    <col min="7" max="7" width="25.5546875" customWidth="1"/>
    <col min="8" max="8" width="11.77734375" customWidth="1"/>
    <col min="9" max="9" width="21.109375" customWidth="1"/>
    <col min="10" max="10" width="19.33203125" customWidth="1"/>
    <col min="11" max="11" width="10.21875" customWidth="1"/>
    <col min="12" max="12" width="10.3320312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56</v>
      </c>
      <c r="H1" s="2" t="s">
        <v>57</v>
      </c>
      <c r="I1" s="2" t="s">
        <v>58</v>
      </c>
      <c r="J1" s="2" t="s">
        <v>52</v>
      </c>
      <c r="K1" s="2" t="s">
        <v>53</v>
      </c>
      <c r="L1" s="2" t="s">
        <v>62</v>
      </c>
    </row>
    <row r="2" spans="1:12" x14ac:dyDescent="0.3">
      <c r="A2" s="1">
        <v>101</v>
      </c>
      <c r="B2" s="1" t="s">
        <v>6</v>
      </c>
      <c r="C2" s="1" t="s">
        <v>7</v>
      </c>
      <c r="D2" s="1" t="s">
        <v>8</v>
      </c>
      <c r="E2" s="1">
        <v>500</v>
      </c>
      <c r="F2" s="1" t="s">
        <v>9</v>
      </c>
      <c r="G2" s="1">
        <f>DATEDIF(B2,C2,"M")</f>
        <v>5</v>
      </c>
      <c r="H2" s="1">
        <f>IF(F2="Yes",1,0)</f>
        <v>1</v>
      </c>
      <c r="I2" s="1">
        <f>E2*G2</f>
        <v>2500</v>
      </c>
      <c r="J2" s="1" t="s">
        <v>47</v>
      </c>
      <c r="K2" s="1">
        <f>COUNTA(A2:A21)</f>
        <v>20</v>
      </c>
      <c r="L2" s="1" t="str">
        <f>TEXT(B2,"MMM")</f>
        <v>Jan</v>
      </c>
    </row>
    <row r="3" spans="1:12" x14ac:dyDescent="0.3">
      <c r="A3" s="1">
        <v>102</v>
      </c>
      <c r="B3" s="1" t="s">
        <v>10</v>
      </c>
      <c r="C3" s="1" t="s">
        <v>11</v>
      </c>
      <c r="D3" s="1" t="s">
        <v>12</v>
      </c>
      <c r="E3" s="1">
        <v>1200</v>
      </c>
      <c r="F3" s="1" t="s">
        <v>13</v>
      </c>
      <c r="G3" s="1">
        <f t="shared" ref="G3:G21" si="0">DATEDIF(B3,C3,"M")</f>
        <v>7</v>
      </c>
      <c r="H3" s="1">
        <f t="shared" ref="H3:H21" si="1">IF(F3="Yes",1,0)</f>
        <v>0</v>
      </c>
      <c r="I3" s="1">
        <f t="shared" ref="I3:I21" si="2">E3*G3</f>
        <v>8400</v>
      </c>
      <c r="J3" s="1" t="s">
        <v>48</v>
      </c>
      <c r="K3" s="1">
        <f>COUNTIF(F2:F21,"Yes")</f>
        <v>10</v>
      </c>
      <c r="L3" s="1" t="str">
        <f t="shared" ref="L3:L21" si="3">TEXT(B3,"MMM")</f>
        <v>Jan</v>
      </c>
    </row>
    <row r="4" spans="1:12" x14ac:dyDescent="0.3">
      <c r="A4" s="1">
        <v>103</v>
      </c>
      <c r="B4" s="1" t="s">
        <v>14</v>
      </c>
      <c r="C4" s="1" t="s">
        <v>15</v>
      </c>
      <c r="D4" s="1" t="s">
        <v>8</v>
      </c>
      <c r="E4" s="1">
        <v>500</v>
      </c>
      <c r="F4" s="1" t="s">
        <v>9</v>
      </c>
      <c r="G4" s="1">
        <f t="shared" si="0"/>
        <v>2</v>
      </c>
      <c r="H4" s="1">
        <f t="shared" si="1"/>
        <v>1</v>
      </c>
      <c r="I4" s="1">
        <f t="shared" si="2"/>
        <v>1000</v>
      </c>
      <c r="J4" s="1" t="s">
        <v>54</v>
      </c>
      <c r="K4" s="1">
        <f>K3/K2*100</f>
        <v>50</v>
      </c>
      <c r="L4" s="1" t="str">
        <f t="shared" si="3"/>
        <v>Feb</v>
      </c>
    </row>
    <row r="5" spans="1:12" x14ac:dyDescent="0.3">
      <c r="A5" s="1">
        <v>104</v>
      </c>
      <c r="B5" s="1" t="s">
        <v>16</v>
      </c>
      <c r="C5" s="1" t="s">
        <v>17</v>
      </c>
      <c r="D5" s="1" t="s">
        <v>18</v>
      </c>
      <c r="E5" s="1">
        <v>800</v>
      </c>
      <c r="F5" s="1" t="s">
        <v>13</v>
      </c>
      <c r="G5" s="1">
        <f t="shared" si="0"/>
        <v>6</v>
      </c>
      <c r="H5" s="1">
        <f t="shared" si="1"/>
        <v>0</v>
      </c>
      <c r="I5" s="1">
        <f t="shared" si="2"/>
        <v>4800</v>
      </c>
      <c r="J5" s="1" t="s">
        <v>55</v>
      </c>
      <c r="K5" s="1">
        <f>100-K4</f>
        <v>50</v>
      </c>
      <c r="L5" s="1" t="str">
        <f t="shared" si="3"/>
        <v>Feb</v>
      </c>
    </row>
    <row r="6" spans="1:12" x14ac:dyDescent="0.3">
      <c r="A6" s="1">
        <v>105</v>
      </c>
      <c r="B6" s="1" t="s">
        <v>19</v>
      </c>
      <c r="C6" s="1" t="s">
        <v>20</v>
      </c>
      <c r="D6" s="1" t="s">
        <v>8</v>
      </c>
      <c r="E6" s="1">
        <v>500</v>
      </c>
      <c r="F6" s="1" t="s">
        <v>9</v>
      </c>
      <c r="G6" s="1">
        <f t="shared" si="0"/>
        <v>2</v>
      </c>
      <c r="H6" s="1">
        <f t="shared" si="1"/>
        <v>1</v>
      </c>
      <c r="I6" s="1">
        <f t="shared" si="2"/>
        <v>1000</v>
      </c>
      <c r="J6" s="1" t="s">
        <v>49</v>
      </c>
      <c r="K6" s="1">
        <f>AVERAGE(G2:G21)</f>
        <v>3.6</v>
      </c>
      <c r="L6" s="1" t="str">
        <f t="shared" si="3"/>
        <v>Mar</v>
      </c>
    </row>
    <row r="7" spans="1:12" x14ac:dyDescent="0.3">
      <c r="A7" s="1">
        <v>106</v>
      </c>
      <c r="B7" s="1" t="s">
        <v>21</v>
      </c>
      <c r="C7" s="1" t="s">
        <v>22</v>
      </c>
      <c r="D7" s="1" t="s">
        <v>12</v>
      </c>
      <c r="E7" s="1">
        <v>1200</v>
      </c>
      <c r="F7" s="1" t="s">
        <v>13</v>
      </c>
      <c r="G7" s="1">
        <f t="shared" si="0"/>
        <v>6</v>
      </c>
      <c r="H7" s="1">
        <f t="shared" si="1"/>
        <v>0</v>
      </c>
      <c r="I7" s="1">
        <f t="shared" si="2"/>
        <v>7200</v>
      </c>
      <c r="J7" s="1" t="s">
        <v>50</v>
      </c>
      <c r="K7" s="3">
        <f>SUM(I2:I21)</f>
        <v>66800</v>
      </c>
      <c r="L7" s="1" t="str">
        <f t="shared" si="3"/>
        <v>Mar</v>
      </c>
    </row>
    <row r="8" spans="1:12" x14ac:dyDescent="0.3">
      <c r="A8" s="1">
        <v>107</v>
      </c>
      <c r="B8" s="1" t="s">
        <v>23</v>
      </c>
      <c r="C8" s="1" t="s">
        <v>24</v>
      </c>
      <c r="D8" s="1" t="s">
        <v>18</v>
      </c>
      <c r="E8" s="1">
        <v>800</v>
      </c>
      <c r="F8" s="1" t="s">
        <v>9</v>
      </c>
      <c r="G8" s="1">
        <f t="shared" si="0"/>
        <v>2</v>
      </c>
      <c r="H8" s="1">
        <f t="shared" si="1"/>
        <v>1</v>
      </c>
      <c r="I8" s="1">
        <f t="shared" si="2"/>
        <v>1600</v>
      </c>
      <c r="J8" s="1" t="s">
        <v>51</v>
      </c>
      <c r="K8" s="3">
        <f>SUMIF(H2:H21,1,I2:I21)</f>
        <v>12000</v>
      </c>
      <c r="L8" s="1" t="str">
        <f t="shared" si="3"/>
        <v>Apr</v>
      </c>
    </row>
    <row r="9" spans="1:12" x14ac:dyDescent="0.3">
      <c r="A9" s="1">
        <v>108</v>
      </c>
      <c r="B9" s="1" t="s">
        <v>25</v>
      </c>
      <c r="C9" s="1" t="s">
        <v>26</v>
      </c>
      <c r="D9" s="1" t="s">
        <v>12</v>
      </c>
      <c r="E9" s="1">
        <v>1200</v>
      </c>
      <c r="F9" s="1" t="s">
        <v>13</v>
      </c>
      <c r="G9" s="1">
        <f t="shared" si="0"/>
        <v>6</v>
      </c>
      <c r="H9" s="1">
        <f t="shared" si="1"/>
        <v>0</v>
      </c>
      <c r="I9" s="1">
        <f t="shared" si="2"/>
        <v>7200</v>
      </c>
      <c r="L9" s="1" t="str">
        <f t="shared" si="3"/>
        <v>Apr</v>
      </c>
    </row>
    <row r="10" spans="1:12" x14ac:dyDescent="0.3">
      <c r="A10" s="1">
        <v>109</v>
      </c>
      <c r="B10" s="1" t="s">
        <v>27</v>
      </c>
      <c r="C10" s="1" t="s">
        <v>28</v>
      </c>
      <c r="D10" s="1" t="s">
        <v>8</v>
      </c>
      <c r="E10" s="1">
        <v>500</v>
      </c>
      <c r="F10" s="1" t="s">
        <v>9</v>
      </c>
      <c r="G10" s="1">
        <f t="shared" si="0"/>
        <v>2</v>
      </c>
      <c r="H10" s="1">
        <f t="shared" si="1"/>
        <v>1</v>
      </c>
      <c r="I10" s="1">
        <f t="shared" si="2"/>
        <v>1000</v>
      </c>
      <c r="L10" s="1" t="str">
        <f t="shared" si="3"/>
        <v>May</v>
      </c>
    </row>
    <row r="11" spans="1:12" x14ac:dyDescent="0.3">
      <c r="A11" s="1">
        <v>110</v>
      </c>
      <c r="B11" s="1" t="s">
        <v>29</v>
      </c>
      <c r="C11" s="1" t="s">
        <v>30</v>
      </c>
      <c r="D11" s="1" t="s">
        <v>18</v>
      </c>
      <c r="E11" s="1">
        <v>800</v>
      </c>
      <c r="F11" s="1" t="s">
        <v>13</v>
      </c>
      <c r="G11" s="1">
        <f t="shared" si="0"/>
        <v>6</v>
      </c>
      <c r="H11" s="1">
        <f t="shared" si="1"/>
        <v>0</v>
      </c>
      <c r="I11" s="1">
        <f t="shared" si="2"/>
        <v>4800</v>
      </c>
      <c r="L11" s="1" t="str">
        <f t="shared" si="3"/>
        <v>May</v>
      </c>
    </row>
    <row r="12" spans="1:12" x14ac:dyDescent="0.3">
      <c r="A12" s="1">
        <v>111</v>
      </c>
      <c r="B12" s="1" t="s">
        <v>31</v>
      </c>
      <c r="C12" s="1" t="s">
        <v>32</v>
      </c>
      <c r="D12" s="1" t="s">
        <v>8</v>
      </c>
      <c r="E12" s="1">
        <v>500</v>
      </c>
      <c r="F12" s="1" t="s">
        <v>9</v>
      </c>
      <c r="G12" s="1">
        <f t="shared" si="0"/>
        <v>2</v>
      </c>
      <c r="H12" s="1">
        <f t="shared" si="1"/>
        <v>1</v>
      </c>
      <c r="I12" s="1">
        <f t="shared" si="2"/>
        <v>1000</v>
      </c>
      <c r="L12" s="1" t="str">
        <f t="shared" si="3"/>
        <v>Jun</v>
      </c>
    </row>
    <row r="13" spans="1:12" x14ac:dyDescent="0.3">
      <c r="A13" s="1">
        <v>112</v>
      </c>
      <c r="B13" s="1" t="s">
        <v>33</v>
      </c>
      <c r="C13" s="1" t="s">
        <v>34</v>
      </c>
      <c r="D13" s="1" t="s">
        <v>12</v>
      </c>
      <c r="E13" s="1">
        <v>1200</v>
      </c>
      <c r="F13" s="1" t="s">
        <v>13</v>
      </c>
      <c r="G13" s="1">
        <f t="shared" si="0"/>
        <v>6</v>
      </c>
      <c r="H13" s="1">
        <f t="shared" si="1"/>
        <v>0</v>
      </c>
      <c r="I13" s="1">
        <f t="shared" si="2"/>
        <v>7200</v>
      </c>
      <c r="L13" s="1" t="str">
        <f t="shared" si="3"/>
        <v>Jun</v>
      </c>
    </row>
    <row r="14" spans="1:12" x14ac:dyDescent="0.3">
      <c r="A14" s="1">
        <v>113</v>
      </c>
      <c r="B14" s="1" t="s">
        <v>35</v>
      </c>
      <c r="C14" s="1" t="s">
        <v>36</v>
      </c>
      <c r="D14" s="1" t="s">
        <v>18</v>
      </c>
      <c r="E14" s="1">
        <v>800</v>
      </c>
      <c r="F14" s="1" t="s">
        <v>9</v>
      </c>
      <c r="G14" s="1">
        <f t="shared" si="0"/>
        <v>2</v>
      </c>
      <c r="H14" s="1">
        <f t="shared" si="1"/>
        <v>1</v>
      </c>
      <c r="I14" s="1">
        <f t="shared" si="2"/>
        <v>1600</v>
      </c>
      <c r="L14" s="1" t="str">
        <f t="shared" si="3"/>
        <v>Jul</v>
      </c>
    </row>
    <row r="15" spans="1:12" x14ac:dyDescent="0.3">
      <c r="A15" s="1">
        <v>114</v>
      </c>
      <c r="B15" s="1" t="s">
        <v>37</v>
      </c>
      <c r="C15" s="1" t="s">
        <v>38</v>
      </c>
      <c r="D15" s="1" t="s">
        <v>12</v>
      </c>
      <c r="E15" s="1">
        <v>1200</v>
      </c>
      <c r="F15" s="1" t="s">
        <v>13</v>
      </c>
      <c r="G15" s="1">
        <f t="shared" si="0"/>
        <v>5</v>
      </c>
      <c r="H15" s="1">
        <f t="shared" si="1"/>
        <v>0</v>
      </c>
      <c r="I15" s="1">
        <f t="shared" si="2"/>
        <v>6000</v>
      </c>
      <c r="L15" s="1" t="str">
        <f t="shared" si="3"/>
        <v>Jul</v>
      </c>
    </row>
    <row r="16" spans="1:12" x14ac:dyDescent="0.3">
      <c r="A16" s="1">
        <v>115</v>
      </c>
      <c r="B16" s="1" t="s">
        <v>32</v>
      </c>
      <c r="C16" s="1" t="s">
        <v>39</v>
      </c>
      <c r="D16" s="1" t="s">
        <v>8</v>
      </c>
      <c r="E16" s="1">
        <v>500</v>
      </c>
      <c r="F16" s="1" t="s">
        <v>9</v>
      </c>
      <c r="G16" s="1">
        <f t="shared" si="0"/>
        <v>1</v>
      </c>
      <c r="H16" s="1">
        <f t="shared" si="1"/>
        <v>1</v>
      </c>
      <c r="I16" s="1">
        <f t="shared" si="2"/>
        <v>500</v>
      </c>
      <c r="L16" s="1" t="str">
        <f t="shared" si="3"/>
        <v>Aug</v>
      </c>
    </row>
    <row r="17" spans="1:12" x14ac:dyDescent="0.3">
      <c r="A17" s="1">
        <v>116</v>
      </c>
      <c r="B17" s="1" t="s">
        <v>40</v>
      </c>
      <c r="C17" s="1" t="s">
        <v>41</v>
      </c>
      <c r="D17" s="1" t="s">
        <v>18</v>
      </c>
      <c r="E17" s="1">
        <v>800</v>
      </c>
      <c r="F17" s="1" t="s">
        <v>13</v>
      </c>
      <c r="G17" s="1">
        <f t="shared" si="0"/>
        <v>4</v>
      </c>
      <c r="H17" s="1">
        <f t="shared" si="1"/>
        <v>0</v>
      </c>
      <c r="I17" s="1">
        <f t="shared" si="2"/>
        <v>3200</v>
      </c>
      <c r="L17" s="1" t="str">
        <f t="shared" si="3"/>
        <v>Aug</v>
      </c>
    </row>
    <row r="18" spans="1:12" x14ac:dyDescent="0.3">
      <c r="A18" s="1">
        <v>117</v>
      </c>
      <c r="B18" s="1" t="s">
        <v>42</v>
      </c>
      <c r="C18" s="1" t="s">
        <v>43</v>
      </c>
      <c r="D18" s="1" t="s">
        <v>8</v>
      </c>
      <c r="E18" s="1">
        <v>500</v>
      </c>
      <c r="F18" s="1" t="s">
        <v>9</v>
      </c>
      <c r="G18" s="1">
        <f t="shared" si="0"/>
        <v>2</v>
      </c>
      <c r="H18" s="1">
        <f t="shared" si="1"/>
        <v>1</v>
      </c>
      <c r="I18" s="1">
        <f t="shared" si="2"/>
        <v>1000</v>
      </c>
      <c r="L18" s="1" t="str">
        <f t="shared" si="3"/>
        <v>Sep</v>
      </c>
    </row>
    <row r="19" spans="1:12" x14ac:dyDescent="0.3">
      <c r="A19" s="1">
        <v>118</v>
      </c>
      <c r="B19" s="1" t="s">
        <v>44</v>
      </c>
      <c r="C19" s="1" t="s">
        <v>45</v>
      </c>
      <c r="D19" s="1" t="s">
        <v>12</v>
      </c>
      <c r="E19" s="1">
        <v>1200</v>
      </c>
      <c r="F19" s="1" t="s">
        <v>13</v>
      </c>
      <c r="G19" s="1">
        <f t="shared" si="0"/>
        <v>3</v>
      </c>
      <c r="H19" s="1">
        <f t="shared" si="1"/>
        <v>0</v>
      </c>
      <c r="I19" s="1">
        <f t="shared" si="2"/>
        <v>3600</v>
      </c>
      <c r="L19" s="1" t="str">
        <f t="shared" si="3"/>
        <v>Sep</v>
      </c>
    </row>
    <row r="20" spans="1:12" x14ac:dyDescent="0.3">
      <c r="A20" s="1">
        <v>119</v>
      </c>
      <c r="B20" s="1" t="s">
        <v>39</v>
      </c>
      <c r="C20" s="1" t="s">
        <v>46</v>
      </c>
      <c r="D20" s="1" t="s">
        <v>18</v>
      </c>
      <c r="E20" s="1">
        <v>800</v>
      </c>
      <c r="F20" s="1" t="s">
        <v>9</v>
      </c>
      <c r="G20" s="1">
        <f t="shared" si="0"/>
        <v>1</v>
      </c>
      <c r="H20" s="1">
        <f t="shared" si="1"/>
        <v>1</v>
      </c>
      <c r="I20" s="1">
        <f t="shared" si="2"/>
        <v>800</v>
      </c>
      <c r="L20" s="1" t="str">
        <f t="shared" si="3"/>
        <v>Oct</v>
      </c>
    </row>
    <row r="21" spans="1:12" x14ac:dyDescent="0.3">
      <c r="A21" s="1">
        <v>120</v>
      </c>
      <c r="B21" s="1" t="s">
        <v>22</v>
      </c>
      <c r="C21" s="1" t="s">
        <v>45</v>
      </c>
      <c r="D21" s="1" t="s">
        <v>12</v>
      </c>
      <c r="E21" s="1">
        <v>1200</v>
      </c>
      <c r="F21" s="1" t="s">
        <v>13</v>
      </c>
      <c r="G21" s="1">
        <f t="shared" si="0"/>
        <v>2</v>
      </c>
      <c r="H21" s="1">
        <f t="shared" si="1"/>
        <v>0</v>
      </c>
      <c r="I21" s="1">
        <f t="shared" si="2"/>
        <v>2400</v>
      </c>
      <c r="L21" s="1" t="str">
        <f t="shared" si="3"/>
        <v>Oct</v>
      </c>
    </row>
  </sheetData>
  <autoFilter ref="A1:F2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2026-03-22T05:58:34Z</dcterms:created>
  <dcterms:modified xsi:type="dcterms:W3CDTF">2026-03-22T07:28:49Z</dcterms:modified>
</cp:coreProperties>
</file>